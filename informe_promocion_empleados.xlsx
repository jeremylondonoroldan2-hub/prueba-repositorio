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pivotCache/_rels/pivotCacheDefinition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  <sheet name="Tabla dinámica_Hoja1_1" sheetId="2" state="visible" r:id="rId3"/>
  </sheets>
  <calcPr iterateCount="100" refMode="A1" iterate="false" iterateDelta="0.001"/>
  <pivotCaches>
    <pivotCache cacheId="1" r:id="rId5"/>
  </pivotCaches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<sst xmlns="http://schemas.openxmlformats.org/spreadsheetml/2006/main" count="60" uniqueCount="35">
  <si>
    <t xml:space="preserve">NOMBRES_DEL_TRABAJADOR</t>
  </si>
  <si>
    <t xml:space="preserve">AREA_ENCARGADA</t>
  </si>
  <si>
    <t xml:space="preserve">HORAS_SEMANALES_TRABAJADAS</t>
  </si>
  <si>
    <t xml:space="preserve"> SALARIO POR HORA DE TRABAJO</t>
  </si>
  <si>
    <t xml:space="preserve">GANANCIA_TOTAL</t>
  </si>
  <si>
    <t xml:space="preserve">APTO_PARA_PROMOCION?</t>
  </si>
  <si>
    <t xml:space="preserve">PORCENTAJE_DE_PROMOCION_GANADA</t>
  </si>
  <si>
    <t xml:space="preserve">GANANCIA_CON_PROMOCION</t>
  </si>
  <si>
    <t xml:space="preserve">Mateo Rojas</t>
  </si>
  <si>
    <t xml:space="preserve">LOGISTICA </t>
  </si>
  <si>
    <t xml:space="preserve">Valeria Cruz</t>
  </si>
  <si>
    <t xml:space="preserve">Andrés Molina</t>
  </si>
  <si>
    <t xml:space="preserve">Camila Torres</t>
  </si>
  <si>
    <t xml:space="preserve">Sebastián Pardo</t>
  </si>
  <si>
    <t xml:space="preserve">Mariana Vélez</t>
  </si>
  <si>
    <t xml:space="preserve">Diego Salazar</t>
  </si>
  <si>
    <t xml:space="preserve">Paula Herrera</t>
  </si>
  <si>
    <t xml:space="preserve">VENTAS</t>
  </si>
  <si>
    <t xml:space="preserve">Nicolás Franco</t>
  </si>
  <si>
    <t xml:space="preserve">Laura Mendoza</t>
  </si>
  <si>
    <t xml:space="preserve">Julián Castro</t>
  </si>
  <si>
    <t xml:space="preserve">Sofía Ramírez</t>
  </si>
  <si>
    <t xml:space="preserve">Esteban Navarro</t>
  </si>
  <si>
    <t xml:space="preserve">Daniela Guzmán</t>
  </si>
  <si>
    <t xml:space="preserve">Martín López</t>
  </si>
  <si>
    <t xml:space="preserve">Natalia Cabrera</t>
  </si>
  <si>
    <t xml:space="preserve">TRANSPORTE</t>
  </si>
  <si>
    <t xml:space="preserve">Felipe Acosta</t>
  </si>
  <si>
    <t xml:space="preserve">Andrea Quintana</t>
  </si>
  <si>
    <t xml:space="preserve">Tomás Beltrán</t>
  </si>
  <si>
    <t xml:space="preserve">Gabriela Peña</t>
  </si>
  <si>
    <t xml:space="preserve">- múltiple -</t>
  </si>
  <si>
    <t xml:space="preserve">- todo -</t>
  </si>
  <si>
    <t xml:space="preserve">(vacío)</t>
  </si>
  <si>
    <t xml:space="preserve">Total Resultado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</si>
</sst>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$-240A]#,##0;\([$$-240A]#,##0\)"/>
    <numFmt numFmtId="166" formatCode="0%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DDE8CB"/>
        <bgColor rgb="FFDEE7E5"/>
      </patternFill>
    </fill>
    <fill>
      <patternFill patternType="solid">
        <fgColor rgb="FFFFDBB6"/>
        <bgColor rgb="FFFFF5CE"/>
      </patternFill>
    </fill>
    <fill>
      <patternFill patternType="solid">
        <fgColor rgb="FFDEE7E5"/>
        <bgColor rgb="FFDDE8CB"/>
      </patternFill>
    </fill>
    <fill>
      <patternFill patternType="solid">
        <fgColor rgb="FFFFF5CE"/>
        <bgColor rgb="FFFFFFFF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4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4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4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0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1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4" fillId="0" borderId="11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4" fillId="0" borderId="12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mpo de la tabla dinámica" xfId="20"/>
    <cellStyle name="Esquina de la tabla dinámica" xfId="21"/>
    <cellStyle name="Valor de la tabla dinámica" xfId="22"/>
    <cellStyle name="Categoría de la tabla dinámica" xfId="23"/>
    <cellStyle name="Título de la tabla dinámica" xfId="24"/>
    <cellStyle name="Resultado de la tabla dinámica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E"/>
      <rgbColor rgb="FFDEE7E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FDB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0" createdVersion="3">
  <cacheSource type="worksheet">
    <worksheetSource ref="A1:H21" sheet="Hoja1"/>
  </cacheSource>
  <cacheFields count="8">
    <cacheField name="NOMBRES_DEL_TRABAJADOR" numFmtId="0">
      <sharedItems count="20">
        <s v="Andrea Quintana"/>
        <s v="Andrés Molina"/>
        <s v="Camila Torres"/>
        <s v="Daniela Guzmán"/>
        <s v="Diego Salazar"/>
        <s v="Esteban Navarro"/>
        <s v="Felipe Acosta"/>
        <s v="Gabriela Peña"/>
        <s v="Julián Castro"/>
        <s v="Laura Mendoza"/>
        <s v="Mariana Vélez"/>
        <s v="Martín López"/>
        <s v="Mateo Rojas"/>
        <s v="Natalia Cabrera"/>
        <s v="Nicolás Franco"/>
        <s v="Paula Herrera"/>
        <s v="Sebastián Pardo"/>
        <s v="Sofía Ramírez"/>
        <s v="Tomás Beltrán"/>
        <s v="Valeria Cruz"/>
      </sharedItems>
    </cacheField>
    <cacheField name="AREA_ENCARGADA" numFmtId="0">
      <sharedItems containsBlank="1" count="4">
        <s v="LOGISTICA "/>
        <s v="TRANSPORTE"/>
        <s v="VENTAS"/>
        <m/>
      </sharedItems>
    </cacheField>
    <cacheField name="HORAS_SEMANALES_TRABAJADAS" numFmtId="0">
      <sharedItems containsSemiMixedTypes="0" containsString="0" containsNumber="1" containsInteger="1" minValue="25" maxValue="50" count="17">
        <n v="25"/>
        <n v="26"/>
        <n v="27"/>
        <n v="28"/>
        <n v="29"/>
        <n v="30"/>
        <n v="31"/>
        <n v="32"/>
        <n v="33"/>
        <n v="34"/>
        <n v="35"/>
        <n v="36"/>
        <n v="42"/>
        <n v="44"/>
        <n v="45"/>
        <n v="47"/>
        <n v="50"/>
      </sharedItems>
    </cacheField>
    <cacheField name=" SALARIO POR HORA DE TRABAJO" numFmtId="0">
      <sharedItems containsSemiMixedTypes="0" containsString="0" containsNumber="1" containsInteger="1" minValue="10" maxValue="41" count="18">
        <n v="10"/>
        <n v="11"/>
        <n v="12"/>
        <n v="14"/>
        <n v="21"/>
        <n v="22"/>
        <n v="23"/>
        <n v="24"/>
        <n v="25"/>
        <n v="26"/>
        <n v="34"/>
        <n v="35"/>
        <n v="36"/>
        <n v="37"/>
        <n v="38"/>
        <n v="39"/>
        <n v="40"/>
        <n v="41"/>
      </sharedItems>
    </cacheField>
    <cacheField name="GANANCIA_TOTAL" numFmtId="0">
      <sharedItems containsSemiMixedTypes="0" containsString="0" containsNumber="1" containsInteger="1" minValue="484" maxValue="1326" count="20">
        <n v="484"/>
        <n v="500"/>
        <n v="540"/>
        <n v="575"/>
        <n v="594"/>
        <n v="630"/>
        <n v="658"/>
        <n v="728"/>
        <n v="792"/>
        <n v="816"/>
        <n v="900"/>
        <n v="962"/>
        <n v="966"/>
        <n v="986"/>
        <n v="1064"/>
        <n v="1120"/>
        <n v="1200"/>
        <n v="1260"/>
        <n v="1271"/>
        <n v="1326"/>
      </sharedItems>
    </cacheField>
    <cacheField name="APTO_PARA_PROMOCION?" numFmtId="0">
      <sharedItems count="2">
        <s v="NO SON ADMISIBLES"/>
        <s v="SON ADMISIBLES PARA PROMOCION"/>
      </sharedItems>
    </cacheField>
    <cacheField name="PORCENTAJE_DE_PROMOCION_GANADA" numFmtId="0">
      <sharedItems containsSemiMixedTypes="0" containsString="0" containsNumber="1" minValue="0" maxValue="0.1" count="4">
        <n v="0"/>
        <n v="0.05"/>
        <n v="0.08"/>
        <n v="0.1"/>
      </sharedItems>
    </cacheField>
    <cacheField name="GANANCIA_CON_PROMOCION" numFmtId="0">
      <sharedItems containsSemiMixedTypes="0" containsString="0" containsNumber="1" minValue="0" maxValue="132.6" count="12">
        <n v="0"/>
        <n v="25"/>
        <n v="27"/>
        <n v="32.9"/>
        <n v="50.4"/>
        <n v="63.36"/>
        <n v="72"/>
        <n v="112"/>
        <n v="120"/>
        <n v="126"/>
        <n v="127.1"/>
        <n v="132.6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">
  <r>
    <x v="12"/>
    <x v="0"/>
    <x v="7"/>
    <x v="11"/>
    <x v="15"/>
    <x v="1"/>
    <x v="3"/>
    <x v="7"/>
  </r>
  <r>
    <x v="19"/>
    <x v="3"/>
    <x v="3"/>
    <x v="14"/>
    <x v="14"/>
    <x v="0"/>
    <x v="0"/>
    <x v="0"/>
  </r>
  <r>
    <x v="1"/>
    <x v="3"/>
    <x v="10"/>
    <x v="12"/>
    <x v="17"/>
    <x v="1"/>
    <x v="3"/>
    <x v="9"/>
  </r>
  <r>
    <x v="2"/>
    <x v="3"/>
    <x v="5"/>
    <x v="16"/>
    <x v="16"/>
    <x v="1"/>
    <x v="3"/>
    <x v="8"/>
  </r>
  <r>
    <x v="16"/>
    <x v="3"/>
    <x v="1"/>
    <x v="13"/>
    <x v="11"/>
    <x v="0"/>
    <x v="0"/>
    <x v="0"/>
  </r>
  <r>
    <x v="10"/>
    <x v="3"/>
    <x v="9"/>
    <x v="15"/>
    <x v="19"/>
    <x v="1"/>
    <x v="3"/>
    <x v="11"/>
  </r>
  <r>
    <x v="4"/>
    <x v="3"/>
    <x v="4"/>
    <x v="10"/>
    <x v="13"/>
    <x v="0"/>
    <x v="0"/>
    <x v="0"/>
  </r>
  <r>
    <x v="15"/>
    <x v="2"/>
    <x v="6"/>
    <x v="17"/>
    <x v="18"/>
    <x v="1"/>
    <x v="3"/>
    <x v="10"/>
  </r>
  <r>
    <x v="14"/>
    <x v="3"/>
    <x v="2"/>
    <x v="5"/>
    <x v="4"/>
    <x v="0"/>
    <x v="0"/>
    <x v="0"/>
  </r>
  <r>
    <x v="9"/>
    <x v="3"/>
    <x v="8"/>
    <x v="7"/>
    <x v="8"/>
    <x v="1"/>
    <x v="2"/>
    <x v="5"/>
  </r>
  <r>
    <x v="8"/>
    <x v="3"/>
    <x v="0"/>
    <x v="6"/>
    <x v="3"/>
    <x v="0"/>
    <x v="0"/>
    <x v="0"/>
  </r>
  <r>
    <x v="17"/>
    <x v="3"/>
    <x v="11"/>
    <x v="8"/>
    <x v="10"/>
    <x v="1"/>
    <x v="2"/>
    <x v="6"/>
  </r>
  <r>
    <x v="5"/>
    <x v="3"/>
    <x v="5"/>
    <x v="4"/>
    <x v="5"/>
    <x v="1"/>
    <x v="2"/>
    <x v="4"/>
  </r>
  <r>
    <x v="3"/>
    <x v="3"/>
    <x v="3"/>
    <x v="9"/>
    <x v="7"/>
    <x v="0"/>
    <x v="0"/>
    <x v="0"/>
  </r>
  <r>
    <x v="11"/>
    <x v="3"/>
    <x v="9"/>
    <x v="7"/>
    <x v="9"/>
    <x v="0"/>
    <x v="0"/>
    <x v="0"/>
  </r>
  <r>
    <x v="13"/>
    <x v="1"/>
    <x v="12"/>
    <x v="6"/>
    <x v="12"/>
    <x v="0"/>
    <x v="0"/>
    <x v="0"/>
  </r>
  <r>
    <x v="6"/>
    <x v="3"/>
    <x v="14"/>
    <x v="2"/>
    <x v="2"/>
    <x v="1"/>
    <x v="1"/>
    <x v="2"/>
  </r>
  <r>
    <x v="0"/>
    <x v="3"/>
    <x v="15"/>
    <x v="3"/>
    <x v="6"/>
    <x v="1"/>
    <x v="1"/>
    <x v="3"/>
  </r>
  <r>
    <x v="18"/>
    <x v="3"/>
    <x v="13"/>
    <x v="1"/>
    <x v="0"/>
    <x v="0"/>
    <x v="0"/>
    <x v="0"/>
  </r>
  <r>
    <x v="7"/>
    <x v="3"/>
    <x v="16"/>
    <x v="0"/>
    <x v="1"/>
    <x v="1"/>
    <x v="1"/>
    <x v="1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5:F24" firstHeaderRow="1" firstDataRow="1" firstDataCol="5" rowPageCount="2" colPageCount="1"/>
  <pivotFields count="8">
    <pivotField axis="axisRow" compact="0" showAll="0" defaultSubtotal="0" outline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axis="axisPage" compact="0" showAll="0" defaultSubtotal="0" outline="0">
      <items count="4">
        <item h="1" x="0"/>
        <item h="1" x="1"/>
        <item x="2"/>
        <item x="3"/>
      </items>
    </pivotField>
    <pivotField axis="axisRow" compact="0" showAll="0" defaultSubtotal="0" outline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axis="axisRow" compact="0" showAll="0" defaultSubtotal="0" outline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axis="axisRow" compact="0" showAll="0" defaultSubtotal="0" outline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axis="axisPage" compact="0" showAll="0" defaultSubtotal="0" outline="0">
      <items count="2">
        <item x="0"/>
        <item x="1"/>
      </items>
    </pivotField>
    <pivotField axis="axisRow" compact="0" showAll="0" defaultSubtotal="0" outline="0">
      <items count="4">
        <item x="0"/>
        <item x="1"/>
        <item x="2"/>
        <item x="3"/>
      </items>
    </pivotField>
    <pivotField compact="0" showAll="0"/>
  </pivotFields>
  <rowFields count="5">
    <field x="0"/>
    <field x="2"/>
    <field x="3"/>
    <field x="4"/>
    <field x="6"/>
  </rowFields>
  <pageFields count="2">
    <pageField fld="1" hier="-1"/>
    <pageField fld="5" hier="-1"/>
  </pageFields>
  <pivotTableStyleInfo name="PivotStyleLight16" showRowHeaders="1" showColHeaders="1" showRowStripes="0" showColStripes="0" showLastColumn="1"/>
</pivotTableDefinition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true" showOutlineSymbols="true" defaultGridColor="false" view="normal" topLeftCell="A1" colorId="9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5.01"/>
    <col collapsed="false" customWidth="true" hidden="false" outlineLevel="0" max="3" min="3" style="0" width="26.81"/>
    <col collapsed="false" customWidth="true" hidden="false" outlineLevel="0" max="6" min="6" style="0" width="38.76"/>
    <col collapsed="false" customWidth="true" hidden="false" outlineLevel="0" max="7" min="7" style="0" width="37.79"/>
    <col collapsed="false" customWidth="true" hidden="false" outlineLevel="0" max="8" min="8" style="0" width="27.7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</row>
    <row r="2" customFormat="false" ht="12.8" hidden="false" customHeight="false" outlineLevel="0" collapsed="false">
      <c r="A2" s="4" t="s">
        <v>8</v>
      </c>
      <c r="B2" s="5" t="s">
        <v>9</v>
      </c>
      <c r="C2" s="6" t="n">
        <v>32</v>
      </c>
      <c r="D2" s="7" t="n">
        <v>35</v>
      </c>
      <c r="E2" s="8" t="n">
        <f aca="false">C2*D2</f>
        <v>1120</v>
      </c>
      <c r="F2" s="9" t="str">
        <f aca="false">IF(C2&gt;=30,"SON ADMISIBLES PARA PROMOCION","NO SON ADMISIBLES")</f>
        <v>SON ADMISIBLES PARA PROMOCION</v>
      </c>
      <c r="G2" s="10" t="n">
        <v>0.1</v>
      </c>
      <c r="H2" s="11" t="n">
        <f aca="false">E2*G2</f>
        <v>112</v>
      </c>
    </row>
    <row r="3" customFormat="false" ht="12.8" hidden="false" customHeight="false" outlineLevel="0" collapsed="false">
      <c r="A3" s="4" t="s">
        <v>10</v>
      </c>
      <c r="B3" s="5"/>
      <c r="C3" s="6" t="n">
        <v>28</v>
      </c>
      <c r="D3" s="7" t="n">
        <v>38</v>
      </c>
      <c r="E3" s="8" t="n">
        <f aca="false">C3*D3</f>
        <v>1064</v>
      </c>
      <c r="F3" s="9" t="str">
        <f aca="false">IF(C3&gt;=30,"SON ADMISIBLES PARA PROMOCION","NO SON ADMISIBLES")</f>
        <v>NO SON ADMISIBLES</v>
      </c>
      <c r="G3" s="12" t="n">
        <v>0</v>
      </c>
      <c r="H3" s="11" t="n">
        <f aca="false">E3*G3</f>
        <v>0</v>
      </c>
    </row>
    <row r="4" customFormat="false" ht="12.8" hidden="false" customHeight="false" outlineLevel="0" collapsed="false">
      <c r="A4" s="4" t="s">
        <v>11</v>
      </c>
      <c r="B4" s="5"/>
      <c r="C4" s="6" t="n">
        <v>35</v>
      </c>
      <c r="D4" s="7" t="n">
        <v>36</v>
      </c>
      <c r="E4" s="8" t="n">
        <f aca="false">C4*D4</f>
        <v>1260</v>
      </c>
      <c r="F4" s="9" t="str">
        <f aca="false">IF(C4&gt;=30,"SON ADMISIBLES PARA PROMOCION","NO SON ADMISIBLES")</f>
        <v>SON ADMISIBLES PARA PROMOCION</v>
      </c>
      <c r="G4" s="12" t="n">
        <v>0.1</v>
      </c>
      <c r="H4" s="11" t="n">
        <f aca="false">E4*G4</f>
        <v>126</v>
      </c>
    </row>
    <row r="5" customFormat="false" ht="12.8" hidden="false" customHeight="false" outlineLevel="0" collapsed="false">
      <c r="A5" s="4" t="s">
        <v>12</v>
      </c>
      <c r="B5" s="5"/>
      <c r="C5" s="6" t="n">
        <v>30</v>
      </c>
      <c r="D5" s="7" t="n">
        <v>40</v>
      </c>
      <c r="E5" s="8" t="n">
        <f aca="false">C5*D5</f>
        <v>1200</v>
      </c>
      <c r="F5" s="9" t="str">
        <f aca="false">IF(C5&gt;=30,"SON ADMISIBLES PARA PROMOCION","NO SON ADMISIBLES")</f>
        <v>SON ADMISIBLES PARA PROMOCION</v>
      </c>
      <c r="G5" s="12" t="n">
        <v>0.1</v>
      </c>
      <c r="H5" s="11" t="n">
        <f aca="false">E5*G5</f>
        <v>120</v>
      </c>
    </row>
    <row r="6" customFormat="false" ht="12.8" hidden="false" customHeight="false" outlineLevel="0" collapsed="false">
      <c r="A6" s="4" t="s">
        <v>13</v>
      </c>
      <c r="B6" s="5"/>
      <c r="C6" s="6" t="n">
        <v>26</v>
      </c>
      <c r="D6" s="7" t="n">
        <v>37</v>
      </c>
      <c r="E6" s="8" t="n">
        <f aca="false">C6*D6</f>
        <v>962</v>
      </c>
      <c r="F6" s="9" t="str">
        <f aca="false">IF(C6&gt;=30,"SON ADMISIBLES PARA PROMOCION","NO SON ADMISIBLES")</f>
        <v>NO SON ADMISIBLES</v>
      </c>
      <c r="G6" s="12" t="n">
        <v>0</v>
      </c>
      <c r="H6" s="11" t="n">
        <f aca="false">E6*G6</f>
        <v>0</v>
      </c>
    </row>
    <row r="7" customFormat="false" ht="12.8" hidden="false" customHeight="false" outlineLevel="0" collapsed="false">
      <c r="A7" s="4" t="s">
        <v>14</v>
      </c>
      <c r="B7" s="5"/>
      <c r="C7" s="6" t="n">
        <v>34</v>
      </c>
      <c r="D7" s="7" t="n">
        <v>39</v>
      </c>
      <c r="E7" s="8" t="n">
        <f aca="false">C7*D7</f>
        <v>1326</v>
      </c>
      <c r="F7" s="9" t="str">
        <f aca="false">IF(C7&gt;=30,"SON ADMISIBLES PARA PROMOCION","NO SON ADMISIBLES")</f>
        <v>SON ADMISIBLES PARA PROMOCION</v>
      </c>
      <c r="G7" s="12" t="n">
        <v>0.1</v>
      </c>
      <c r="H7" s="11" t="n">
        <f aca="false">E7*G7</f>
        <v>132.6</v>
      </c>
    </row>
    <row r="8" customFormat="false" ht="12.8" hidden="false" customHeight="false" outlineLevel="0" collapsed="false">
      <c r="A8" s="4" t="s">
        <v>15</v>
      </c>
      <c r="B8" s="5"/>
      <c r="C8" s="6" t="n">
        <v>29</v>
      </c>
      <c r="D8" s="7" t="n">
        <v>34</v>
      </c>
      <c r="E8" s="8" t="n">
        <f aca="false">C8*D8</f>
        <v>986</v>
      </c>
      <c r="F8" s="9" t="str">
        <f aca="false">IF(C8&gt;=30,"SON ADMISIBLES PARA PROMOCION","NO SON ADMISIBLES")</f>
        <v>NO SON ADMISIBLES</v>
      </c>
      <c r="G8" s="12" t="n">
        <v>0</v>
      </c>
      <c r="H8" s="11" t="n">
        <f aca="false">E8*G8</f>
        <v>0</v>
      </c>
    </row>
    <row r="9" customFormat="false" ht="12.8" hidden="false" customHeight="false" outlineLevel="0" collapsed="false">
      <c r="A9" s="4" t="s">
        <v>16</v>
      </c>
      <c r="B9" s="13" t="s">
        <v>17</v>
      </c>
      <c r="C9" s="6" t="n">
        <v>31</v>
      </c>
      <c r="D9" s="7" t="n">
        <v>41</v>
      </c>
      <c r="E9" s="8" t="n">
        <f aca="false">C9*D9</f>
        <v>1271</v>
      </c>
      <c r="F9" s="9" t="str">
        <f aca="false">IF(C9&gt;=30,"SON ADMISIBLES PARA PROMOCION","NO SON ADMISIBLES")</f>
        <v>SON ADMISIBLES PARA PROMOCION</v>
      </c>
      <c r="G9" s="12" t="n">
        <v>0.1</v>
      </c>
      <c r="H9" s="11" t="n">
        <f aca="false">E9*G9</f>
        <v>127.1</v>
      </c>
    </row>
    <row r="10" customFormat="false" ht="12.8" hidden="false" customHeight="false" outlineLevel="0" collapsed="false">
      <c r="A10" s="4" t="s">
        <v>18</v>
      </c>
      <c r="B10" s="13"/>
      <c r="C10" s="6" t="n">
        <v>27</v>
      </c>
      <c r="D10" s="7" t="n">
        <v>22</v>
      </c>
      <c r="E10" s="8" t="n">
        <f aca="false">C10*D10</f>
        <v>594</v>
      </c>
      <c r="F10" s="9" t="str">
        <f aca="false">IF(C10&gt;=30,"SON ADMISIBLES PARA PROMOCION","NO SON ADMISIBLES")</f>
        <v>NO SON ADMISIBLES</v>
      </c>
      <c r="G10" s="12" t="n">
        <v>0</v>
      </c>
      <c r="H10" s="11" t="n">
        <f aca="false">E10*G10</f>
        <v>0</v>
      </c>
    </row>
    <row r="11" customFormat="false" ht="12.8" hidden="false" customHeight="false" outlineLevel="0" collapsed="false">
      <c r="A11" s="4" t="s">
        <v>19</v>
      </c>
      <c r="B11" s="13"/>
      <c r="C11" s="6" t="n">
        <v>33</v>
      </c>
      <c r="D11" s="7" t="n">
        <v>24</v>
      </c>
      <c r="E11" s="8" t="n">
        <f aca="false">C11*D11</f>
        <v>792</v>
      </c>
      <c r="F11" s="9" t="str">
        <f aca="false">IF(C11&gt;=30,"SON ADMISIBLES PARA PROMOCION","NO SON ADMISIBLES")</f>
        <v>SON ADMISIBLES PARA PROMOCION</v>
      </c>
      <c r="G11" s="12" t="n">
        <v>0.08</v>
      </c>
      <c r="H11" s="11" t="n">
        <f aca="false">E11*G11</f>
        <v>63.36</v>
      </c>
    </row>
    <row r="12" customFormat="false" ht="12.8" hidden="false" customHeight="false" outlineLevel="0" collapsed="false">
      <c r="A12" s="4" t="s">
        <v>20</v>
      </c>
      <c r="B12" s="13"/>
      <c r="C12" s="6" t="n">
        <v>25</v>
      </c>
      <c r="D12" s="7" t="n">
        <v>23</v>
      </c>
      <c r="E12" s="8" t="n">
        <f aca="false">C12*D12</f>
        <v>575</v>
      </c>
      <c r="F12" s="9" t="str">
        <f aca="false">IF(C12&gt;=30,"SON ADMISIBLES PARA PROMOCION","NO SON ADMISIBLES")</f>
        <v>NO SON ADMISIBLES</v>
      </c>
      <c r="G12" s="12" t="n">
        <v>0</v>
      </c>
      <c r="H12" s="11" t="n">
        <f aca="false">E12*G12</f>
        <v>0</v>
      </c>
    </row>
    <row r="13" customFormat="false" ht="12.8" hidden="false" customHeight="false" outlineLevel="0" collapsed="false">
      <c r="A13" s="4" t="s">
        <v>21</v>
      </c>
      <c r="B13" s="13"/>
      <c r="C13" s="6" t="n">
        <v>36</v>
      </c>
      <c r="D13" s="7" t="n">
        <v>25</v>
      </c>
      <c r="E13" s="8" t="n">
        <f aca="false">C13*D13</f>
        <v>900</v>
      </c>
      <c r="F13" s="9" t="str">
        <f aca="false">IF(C13&gt;=30,"SON ADMISIBLES PARA PROMOCION","NO SON ADMISIBLES")</f>
        <v>SON ADMISIBLES PARA PROMOCION</v>
      </c>
      <c r="G13" s="12" t="n">
        <v>0.08</v>
      </c>
      <c r="H13" s="11" t="n">
        <f aca="false">E13*G13</f>
        <v>72</v>
      </c>
    </row>
    <row r="14" customFormat="false" ht="12.8" hidden="false" customHeight="false" outlineLevel="0" collapsed="false">
      <c r="A14" s="4" t="s">
        <v>22</v>
      </c>
      <c r="B14" s="13"/>
      <c r="C14" s="6" t="n">
        <v>30</v>
      </c>
      <c r="D14" s="7" t="n">
        <v>21</v>
      </c>
      <c r="E14" s="8" t="n">
        <f aca="false">C14*D14</f>
        <v>630</v>
      </c>
      <c r="F14" s="9" t="str">
        <f aca="false">IF(C14&gt;=30,"SON ADMISIBLES PARA PROMOCION","NO SON ADMISIBLES")</f>
        <v>SON ADMISIBLES PARA PROMOCION</v>
      </c>
      <c r="G14" s="12" t="n">
        <v>0.08</v>
      </c>
      <c r="H14" s="11" t="n">
        <f aca="false">E14*G14</f>
        <v>50.4</v>
      </c>
    </row>
    <row r="15" customFormat="false" ht="12.8" hidden="false" customHeight="false" outlineLevel="0" collapsed="false">
      <c r="A15" s="4" t="s">
        <v>23</v>
      </c>
      <c r="B15" s="13"/>
      <c r="C15" s="6" t="n">
        <v>28</v>
      </c>
      <c r="D15" s="7" t="n">
        <v>26</v>
      </c>
      <c r="E15" s="8" t="n">
        <f aca="false">C15*D15</f>
        <v>728</v>
      </c>
      <c r="F15" s="9" t="str">
        <f aca="false">IF(C15&gt;=30,"SON ADMISIBLES PARA PROMOCION","NO SON ADMISIBLES")</f>
        <v>NO SON ADMISIBLES</v>
      </c>
      <c r="G15" s="12" t="n">
        <v>0</v>
      </c>
      <c r="H15" s="11" t="n">
        <f aca="false">E15*G15</f>
        <v>0</v>
      </c>
    </row>
    <row r="16" customFormat="false" ht="12.8" hidden="false" customHeight="false" outlineLevel="0" collapsed="false">
      <c r="A16" s="4" t="s">
        <v>24</v>
      </c>
      <c r="B16" s="13"/>
      <c r="C16" s="6" t="n">
        <v>34</v>
      </c>
      <c r="D16" s="7" t="n">
        <v>24</v>
      </c>
      <c r="E16" s="8" t="n">
        <f aca="false">C16*D16</f>
        <v>816</v>
      </c>
      <c r="F16" s="9" t="str">
        <f aca="false">IF(C16&gt;=4.5E+026,"SON ADMISIBLES PARA PROMOCION","NO SON ADMISIBLES")</f>
        <v>NO SON ADMISIBLES</v>
      </c>
      <c r="G16" s="12" t="n">
        <v>0</v>
      </c>
      <c r="H16" s="11" t="n">
        <f aca="false">E16*G16</f>
        <v>0</v>
      </c>
    </row>
    <row r="17" customFormat="false" ht="12.8" hidden="false" customHeight="false" outlineLevel="0" collapsed="false">
      <c r="A17" s="4" t="s">
        <v>25</v>
      </c>
      <c r="B17" s="14" t="s">
        <v>26</v>
      </c>
      <c r="C17" s="6" t="n">
        <v>42</v>
      </c>
      <c r="D17" s="7" t="n">
        <v>23</v>
      </c>
      <c r="E17" s="8" t="n">
        <f aca="false">C17*D17</f>
        <v>966</v>
      </c>
      <c r="F17" s="9" t="str">
        <f aca="false">IF(C17&gt;=45,"SON ADMISIBLES PARA PROMOCION","NO SON ADMISIBLES")</f>
        <v>NO SON ADMISIBLES</v>
      </c>
      <c r="G17" s="12" t="n">
        <v>0</v>
      </c>
      <c r="H17" s="11" t="n">
        <f aca="false">E17*G17</f>
        <v>0</v>
      </c>
    </row>
    <row r="18" customFormat="false" ht="12.8" hidden="false" customHeight="false" outlineLevel="0" collapsed="false">
      <c r="A18" s="4" t="s">
        <v>27</v>
      </c>
      <c r="B18" s="14"/>
      <c r="C18" s="6" t="n">
        <v>45</v>
      </c>
      <c r="D18" s="7" t="n">
        <v>12</v>
      </c>
      <c r="E18" s="8" t="n">
        <f aca="false">C18*D18</f>
        <v>540</v>
      </c>
      <c r="F18" s="9" t="str">
        <f aca="false">IF(C18&gt;=45,"SON ADMISIBLES PARA PROMOCION","NO SON ADMISIBLES")</f>
        <v>SON ADMISIBLES PARA PROMOCION</v>
      </c>
      <c r="G18" s="12" t="n">
        <v>0.05</v>
      </c>
      <c r="H18" s="11" t="n">
        <f aca="false">E18*G18</f>
        <v>27</v>
      </c>
    </row>
    <row r="19" customFormat="false" ht="12.8" hidden="false" customHeight="false" outlineLevel="0" collapsed="false">
      <c r="A19" s="4" t="s">
        <v>28</v>
      </c>
      <c r="B19" s="14"/>
      <c r="C19" s="6" t="n">
        <v>47</v>
      </c>
      <c r="D19" s="7" t="n">
        <v>14</v>
      </c>
      <c r="E19" s="8" t="n">
        <f aca="false">C19*D19</f>
        <v>658</v>
      </c>
      <c r="F19" s="9" t="str">
        <f aca="false">IF(C19&gt;=45,"SON ADMISIBLES PARA PROMOCION","NO SON ADMISIBLES")</f>
        <v>SON ADMISIBLES PARA PROMOCION</v>
      </c>
      <c r="G19" s="12" t="n">
        <v>0.05</v>
      </c>
      <c r="H19" s="11" t="n">
        <f aca="false">E19*G19</f>
        <v>32.9</v>
      </c>
    </row>
    <row r="20" customFormat="false" ht="12.8" hidden="false" customHeight="false" outlineLevel="0" collapsed="false">
      <c r="A20" s="4" t="s">
        <v>29</v>
      </c>
      <c r="B20" s="14"/>
      <c r="C20" s="6" t="n">
        <v>44</v>
      </c>
      <c r="D20" s="7" t="n">
        <v>11</v>
      </c>
      <c r="E20" s="8" t="n">
        <f aca="false">C20*D20</f>
        <v>484</v>
      </c>
      <c r="F20" s="9" t="str">
        <f aca="false">IF(C20&gt;=45,"SON ADMISIBLES PARA PROMOCION","NO SON ADMISIBLES")</f>
        <v>NO SON ADMISIBLES</v>
      </c>
      <c r="G20" s="12" t="n">
        <v>0</v>
      </c>
      <c r="H20" s="11" t="n">
        <f aca="false">E20*G20</f>
        <v>0</v>
      </c>
    </row>
    <row r="21" customFormat="false" ht="12.8" hidden="false" customHeight="false" outlineLevel="0" collapsed="false">
      <c r="A21" s="4" t="s">
        <v>30</v>
      </c>
      <c r="B21" s="14"/>
      <c r="C21" s="6" t="n">
        <v>50</v>
      </c>
      <c r="D21" s="7" t="n">
        <v>10</v>
      </c>
      <c r="E21" s="8" t="n">
        <f aca="false">C21*D21</f>
        <v>500</v>
      </c>
      <c r="F21" s="9" t="str">
        <f aca="false">IF(C21&gt;=45,"SON ADMISIBLES PARA PROMOCION","NO SON ADMISIBLES")</f>
        <v>SON ADMISIBLES PARA PROMOCION</v>
      </c>
      <c r="G21" s="12" t="n">
        <v>0.05</v>
      </c>
      <c r="H21" s="11" t="n">
        <f aca="false">E21*G21</f>
        <v>25</v>
      </c>
    </row>
  </sheetData>
  <mergeCells count="3">
    <mergeCell ref="B2:B8"/>
    <mergeCell ref="B9:B16"/>
    <mergeCell ref="B17:B2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F24"/>
  <sheetViews>
    <sheetView showFormulas="false" showGridLines="true" showRowColHeaders="true" showZeros="true" rightToLeft="false" tabSelected="false" showOutlineSymbols="true" defaultGridColor="false" view="normal" topLeftCell="A1" colorId="9" zoomScale="100" zoomScaleNormal="100" zoomScalePageLayoutView="100" workbookViewId="0">
      <selection pane="topLeft" activeCell="F5" activeCellId="0" sqref="F5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22.92"/>
    <col collapsed="false" customWidth="true" hidden="false" outlineLevel="0" max="3" min="3" style="0" width="23.61"/>
    <col collapsed="false" customWidth="true" hidden="false" outlineLevel="0" max="4" min="4" style="0" width="38.48"/>
    <col collapsed="false" customWidth="true" hidden="false" outlineLevel="0" max="5" min="5" style="0" width="37.37"/>
    <col collapsed="false" customWidth="true" hidden="false" outlineLevel="0" max="6" min="6" style="0" width="34.18"/>
    <col collapsed="false" customWidth="true" hidden="false" outlineLevel="0" max="7" min="7" style="0" width="15.69"/>
    <col collapsed="false" customWidth="true" hidden="false" outlineLevel="0" max="8" min="8" style="0" width="15.97"/>
    <col collapsed="false" customWidth="true" hidden="false" outlineLevel="0" max="9" min="9" style="0" width="23.61"/>
  </cols>
  <sheetData>
    <row r="2" customFormat="false" ht="12.8" hidden="false" customHeight="false" outlineLevel="0" collapsed="false">
      <c r="A2" s="15" t="s">
        <v>1</v>
      </c>
      <c r="B2" s="16" t="s">
        <v>31</v>
      </c>
    </row>
    <row r="3" customFormat="false" ht="12.8" hidden="false" customHeight="false" outlineLevel="0" collapsed="false">
      <c r="A3" s="15" t="s">
        <v>5</v>
      </c>
      <c r="B3" s="16" t="s">
        <v>32</v>
      </c>
    </row>
    <row r="5" customFormat="false" ht="12.8" hidden="false" customHeight="false" outlineLevel="0" collapsed="false">
      <c r="A5" s="17" t="s">
        <v>0</v>
      </c>
      <c r="B5" s="18" t="s">
        <v>2</v>
      </c>
      <c r="C5" s="18" t="s">
        <v>3</v>
      </c>
      <c r="D5" s="18" t="s">
        <v>4</v>
      </c>
      <c r="E5" s="18" t="s">
        <v>6</v>
      </c>
      <c r="F5" s="19" t="s">
        <v>33</v>
      </c>
    </row>
    <row r="6" customFormat="false" ht="12.8" hidden="false" customHeight="false" outlineLevel="0" collapsed="false">
      <c r="A6" s="20" t="s">
        <v>28</v>
      </c>
      <c r="B6" s="21" t="n">
        <v>47</v>
      </c>
      <c r="C6" s="22" t="n">
        <v>14</v>
      </c>
      <c r="D6" s="22" t="n">
        <v>658</v>
      </c>
      <c r="E6" s="23" t="n">
        <v>0.05</v>
      </c>
      <c r="F6" s="24"/>
    </row>
    <row r="7" customFormat="false" ht="12.8" hidden="false" customHeight="false" outlineLevel="0" collapsed="false">
      <c r="A7" s="20" t="s">
        <v>11</v>
      </c>
      <c r="B7" s="21" t="n">
        <v>35</v>
      </c>
      <c r="C7" s="22" t="n">
        <v>36</v>
      </c>
      <c r="D7" s="22" t="n">
        <v>1260</v>
      </c>
      <c r="E7" s="23" t="n">
        <v>0.1</v>
      </c>
      <c r="F7" s="24"/>
    </row>
    <row r="8" customFormat="false" ht="12.8" hidden="false" customHeight="false" outlineLevel="0" collapsed="false">
      <c r="A8" s="20" t="s">
        <v>12</v>
      </c>
      <c r="B8" s="21" t="n">
        <v>30</v>
      </c>
      <c r="C8" s="22" t="n">
        <v>40</v>
      </c>
      <c r="D8" s="22" t="n">
        <v>1200</v>
      </c>
      <c r="E8" s="23" t="n">
        <v>0.1</v>
      </c>
      <c r="F8" s="24"/>
    </row>
    <row r="9" customFormat="false" ht="12.8" hidden="false" customHeight="false" outlineLevel="0" collapsed="false">
      <c r="A9" s="20" t="s">
        <v>23</v>
      </c>
      <c r="B9" s="21" t="n">
        <v>28</v>
      </c>
      <c r="C9" s="22" t="n">
        <v>26</v>
      </c>
      <c r="D9" s="22" t="n">
        <v>728</v>
      </c>
      <c r="E9" s="23" t="n">
        <v>0</v>
      </c>
      <c r="F9" s="24"/>
    </row>
    <row r="10" customFormat="false" ht="12.8" hidden="false" customHeight="false" outlineLevel="0" collapsed="false">
      <c r="A10" s="20" t="s">
        <v>15</v>
      </c>
      <c r="B10" s="21" t="n">
        <v>29</v>
      </c>
      <c r="C10" s="22" t="n">
        <v>34</v>
      </c>
      <c r="D10" s="22" t="n">
        <v>986</v>
      </c>
      <c r="E10" s="23" t="n">
        <v>0</v>
      </c>
      <c r="F10" s="24"/>
    </row>
    <row r="11" customFormat="false" ht="12.8" hidden="false" customHeight="false" outlineLevel="0" collapsed="false">
      <c r="A11" s="20" t="s">
        <v>22</v>
      </c>
      <c r="B11" s="21" t="n">
        <v>30</v>
      </c>
      <c r="C11" s="22" t="n">
        <v>21</v>
      </c>
      <c r="D11" s="22" t="n">
        <v>630</v>
      </c>
      <c r="E11" s="23" t="n">
        <v>0.08</v>
      </c>
      <c r="F11" s="24"/>
    </row>
    <row r="12" customFormat="false" ht="12.8" hidden="false" customHeight="false" outlineLevel="0" collapsed="false">
      <c r="A12" s="20" t="s">
        <v>27</v>
      </c>
      <c r="B12" s="21" t="n">
        <v>45</v>
      </c>
      <c r="C12" s="22" t="n">
        <v>12</v>
      </c>
      <c r="D12" s="22" t="n">
        <v>540</v>
      </c>
      <c r="E12" s="23" t="n">
        <v>0.05</v>
      </c>
      <c r="F12" s="24"/>
    </row>
    <row r="13" customFormat="false" ht="12.8" hidden="false" customHeight="false" outlineLevel="0" collapsed="false">
      <c r="A13" s="20" t="s">
        <v>30</v>
      </c>
      <c r="B13" s="21" t="n">
        <v>50</v>
      </c>
      <c r="C13" s="22" t="n">
        <v>10</v>
      </c>
      <c r="D13" s="22" t="n">
        <v>500</v>
      </c>
      <c r="E13" s="23" t="n">
        <v>0.05</v>
      </c>
      <c r="F13" s="24"/>
    </row>
    <row r="14" customFormat="false" ht="12.8" hidden="false" customHeight="false" outlineLevel="0" collapsed="false">
      <c r="A14" s="20" t="s">
        <v>20</v>
      </c>
      <c r="B14" s="21" t="n">
        <v>25</v>
      </c>
      <c r="C14" s="22" t="n">
        <v>23</v>
      </c>
      <c r="D14" s="22" t="n">
        <v>575</v>
      </c>
      <c r="E14" s="23" t="n">
        <v>0</v>
      </c>
      <c r="F14" s="24"/>
    </row>
    <row r="15" customFormat="false" ht="12.8" hidden="false" customHeight="false" outlineLevel="0" collapsed="false">
      <c r="A15" s="20" t="s">
        <v>19</v>
      </c>
      <c r="B15" s="21" t="n">
        <v>33</v>
      </c>
      <c r="C15" s="22" t="n">
        <v>24</v>
      </c>
      <c r="D15" s="22" t="n">
        <v>792</v>
      </c>
      <c r="E15" s="23" t="n">
        <v>0.08</v>
      </c>
      <c r="F15" s="24"/>
    </row>
    <row r="16" customFormat="false" ht="12.8" hidden="false" customHeight="false" outlineLevel="0" collapsed="false">
      <c r="A16" s="20" t="s">
        <v>14</v>
      </c>
      <c r="B16" s="21" t="n">
        <v>34</v>
      </c>
      <c r="C16" s="22" t="n">
        <v>39</v>
      </c>
      <c r="D16" s="22" t="n">
        <v>1326</v>
      </c>
      <c r="E16" s="23" t="n">
        <v>0.1</v>
      </c>
      <c r="F16" s="24"/>
    </row>
    <row r="17" customFormat="false" ht="12.8" hidden="false" customHeight="false" outlineLevel="0" collapsed="false">
      <c r="A17" s="20" t="s">
        <v>24</v>
      </c>
      <c r="B17" s="21" t="n">
        <v>34</v>
      </c>
      <c r="C17" s="22" t="n">
        <v>24</v>
      </c>
      <c r="D17" s="22" t="n">
        <v>816</v>
      </c>
      <c r="E17" s="23" t="n">
        <v>0</v>
      </c>
      <c r="F17" s="24"/>
    </row>
    <row r="18" customFormat="false" ht="12.8" hidden="false" customHeight="false" outlineLevel="0" collapsed="false">
      <c r="A18" s="20" t="s">
        <v>18</v>
      </c>
      <c r="B18" s="21" t="n">
        <v>27</v>
      </c>
      <c r="C18" s="22" t="n">
        <v>22</v>
      </c>
      <c r="D18" s="22" t="n">
        <v>594</v>
      </c>
      <c r="E18" s="23" t="n">
        <v>0</v>
      </c>
      <c r="F18" s="24"/>
    </row>
    <row r="19" customFormat="false" ht="12.8" hidden="false" customHeight="false" outlineLevel="0" collapsed="false">
      <c r="A19" s="20" t="s">
        <v>16</v>
      </c>
      <c r="B19" s="21" t="n">
        <v>31</v>
      </c>
      <c r="C19" s="22" t="n">
        <v>41</v>
      </c>
      <c r="D19" s="22" t="n">
        <v>1271</v>
      </c>
      <c r="E19" s="23" t="n">
        <v>0.1</v>
      </c>
      <c r="F19" s="24"/>
    </row>
    <row r="20" customFormat="false" ht="12.8" hidden="false" customHeight="false" outlineLevel="0" collapsed="false">
      <c r="A20" s="20" t="s">
        <v>13</v>
      </c>
      <c r="B20" s="21" t="n">
        <v>26</v>
      </c>
      <c r="C20" s="22" t="n">
        <v>37</v>
      </c>
      <c r="D20" s="22" t="n">
        <v>962</v>
      </c>
      <c r="E20" s="23" t="n">
        <v>0</v>
      </c>
      <c r="F20" s="24"/>
    </row>
    <row r="21" customFormat="false" ht="12.8" hidden="false" customHeight="false" outlineLevel="0" collapsed="false">
      <c r="A21" s="20" t="s">
        <v>21</v>
      </c>
      <c r="B21" s="21" t="n">
        <v>36</v>
      </c>
      <c r="C21" s="22" t="n">
        <v>25</v>
      </c>
      <c r="D21" s="22" t="n">
        <v>900</v>
      </c>
      <c r="E21" s="23" t="n">
        <v>0.08</v>
      </c>
      <c r="F21" s="24"/>
    </row>
    <row r="22" customFormat="false" ht="12.8" hidden="false" customHeight="false" outlineLevel="0" collapsed="false">
      <c r="A22" s="20" t="s">
        <v>29</v>
      </c>
      <c r="B22" s="21" t="n">
        <v>44</v>
      </c>
      <c r="C22" s="22" t="n">
        <v>11</v>
      </c>
      <c r="D22" s="22" t="n">
        <v>484</v>
      </c>
      <c r="E22" s="23" t="n">
        <v>0</v>
      </c>
      <c r="F22" s="24"/>
    </row>
    <row r="23" customFormat="false" ht="12.8" hidden="false" customHeight="false" outlineLevel="0" collapsed="false">
      <c r="A23" s="20" t="s">
        <v>10</v>
      </c>
      <c r="B23" s="21" t="n">
        <v>28</v>
      </c>
      <c r="C23" s="22" t="n">
        <v>38</v>
      </c>
      <c r="D23" s="22" t="n">
        <v>1064</v>
      </c>
      <c r="E23" s="23" t="n">
        <v>0</v>
      </c>
      <c r="F23" s="24"/>
    </row>
    <row r="24" customFormat="false" ht="12.8" hidden="false" customHeight="false" outlineLevel="0" collapsed="false">
      <c r="A24" s="25" t="s">
        <v>34</v>
      </c>
      <c r="B24" s="26"/>
      <c r="C24" s="27"/>
      <c r="D24" s="27"/>
      <c r="E24" s="28"/>
      <c r="F24" s="2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2026-02-12T15:01:11Z</dcterms:created>
  <dc:creator/>
  <dc:description/>
  <dc:language>es-CO</dc:language>
  <cp:lastModifiedBy/>
  <dcterms:modified xsi:type="dcterms:W3CDTF">2026-02-12T15:26:30Z</dcterms:modified>
  <cp:revision>1</cp:revision>
  <dc:subject/>
  <dc:title/>
</cp:coreProperties>
</file>